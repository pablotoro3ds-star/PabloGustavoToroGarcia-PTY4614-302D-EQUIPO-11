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11\"/>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<sst xmlns="http://schemas.openxmlformats.org/spreadsheetml/2006/main" count="155" uniqueCount="96">
  <si>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</si>
  <si>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</si>
  <si>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</si>
  <si>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</si>
  <si>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</si>
  <si>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</si>
  <si>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</si>
  <si>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</si>
  <si>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</si>
  <si>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</si>
  <si>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</si>
  <si>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</si>
  <si>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</si>
  <si>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</si>
  <si>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</si>
  <si>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</si>
  <si>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</si>
  <si>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</si>
  <si>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</si>
  <si>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</si>
  <si>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</si>
  <si>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</si>
  <si>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</si>
  <si>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</si>
  <si>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</si>
  <si>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</si>
  <si>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</si>
  <si>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</si>
  <si>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</si>
  <si>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</si>
  <si>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</si>
  <si>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</si>
  <si>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</si>
  <si>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</si>
  <si>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</si>
  <si>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</si>
  <si>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</si>
  <si>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</si>
  <si>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</si>
  <si>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</si>
  <si>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</si>
  <si>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</si>
  <si>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</si>
  <si>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</si>
  <si>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</si>
  <si>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</si>
  <si>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</si>
  <si>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</si>
  <si>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</si>
  <si>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</si>
  <si>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</si>
  <si>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</si>
  <si>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</si>
  <si>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</si>
  <si>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</si>
  <si>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</si>
  <si>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</si>
  <si>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</si>
  <si>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</si>
  <si>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</si>
  <si>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</si>
  <si>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</si>
  <si>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</si>
  <si>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</si>
  <si>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</si>
  <si>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</si>
  <si>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</si>
  <si>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</si>
  <si>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</si>
  <si>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</si>
  <si>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</si>
  <si>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</si>
  <si>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</si>
  <si>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</si>
  <si>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</si>
  <si>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</si>
  <si>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</si>
  <si>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</si>
  <si>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</si>
  <si>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</si>
  <si>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</si>
  <si>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</si>
  <si>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</si>
  <si>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</si>
  <si>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</si>
  <si>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</si>
  <si>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</si>
  <si>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</si>
  <si>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</si>
  <si>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</si>
  <si>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</si>
  <si>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</si>
  <si>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</si>
  <si>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</si>
  <si>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</si>
  <si>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Pablo Toro García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</si>
</sst>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C14" sqref="C1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6.6</v>
      </c>
      <c r="D4" s="6">
        <f>$C$35</f>
        <v>5.3</v>
      </c>
      <c r="E4" s="43">
        <f>C4*C$2+D4*D$2</f>
        <v>6.2749999999999995</v>
      </c>
      <c r="G4" s="1"/>
    </row>
    <row r="5" spans="1:11" x14ac:dyDescent="0.25">
      <c r="A5" s="5">
        <v>2</v>
      </c>
      <c r="B5" s="32"/>
      <c r="C5" s="6">
        <f>EVALUACION1!$C$24</f>
        <v>6.6</v>
      </c>
      <c r="D5" s="6">
        <f>C47</f>
        <v>7</v>
      </c>
      <c r="E5" s="43">
        <f t="shared" ref="E5:E6" si="0">C5*C$2+D5*D$2</f>
        <v>6.6999999999999993</v>
      </c>
      <c r="G5" s="1"/>
    </row>
    <row r="6" spans="1:11" x14ac:dyDescent="0.25">
      <c r="A6" s="5">
        <v>3</v>
      </c>
      <c r="B6" s="32"/>
      <c r="C6" s="6">
        <f>EVALUACION1!$C$24</f>
        <v>6.6</v>
      </c>
      <c r="D6" s="6">
        <f>C58</f>
        <v>7</v>
      </c>
      <c r="E6" s="43">
        <f t="shared" si="0"/>
        <v>6.6999999999999993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8</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8</v>
      </c>
      <c r="D20" s="16" t="str">
        <f t="shared" si="12"/>
        <v/>
      </c>
      <c r="E20" s="16" t="str">
        <f>IF(D20="X",100*0.05,"")</f>
        <v/>
      </c>
      <c r="F20" s="16" t="str">
        <f t="shared" si="14"/>
        <v>X</v>
      </c>
      <c r="G20" s="16">
        <f t="shared" si="10"/>
        <v>3</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
      <c r="A24" s="50"/>
      <c r="B24" s="36" t="s">
        <v>12</v>
      </c>
      <c r="C24" s="20">
        <f>VLOOKUP(C23,ESCALA_IEP!A2:B142,2,FALSE)</f>
        <v>6.6</v>
      </c>
    </row>
    <row r="25" spans="1:11" ht="15.75" customHeight="1" x14ac:dyDescent="0.25"/>
    <row r="26" spans="1:11" ht="15.75" customHeight="1" x14ac:dyDescent="0.25"/>
    <row r="27" spans="1:11" ht="15.75" customHeight="1" x14ac:dyDescent="0.25">
      <c r="A27" s="61" t="s">
        <v>13</v>
      </c>
      <c r="B27" s="49" t="s">
        <v>14</v>
      </c>
      <c r="C27" s="51" t="str">
        <f>$B$4</f>
        <v>Pablo Toro García</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93</v>
      </c>
      <c r="D33" s="16" t="str">
        <f>IF($C33=CL,"X","")</f>
        <v/>
      </c>
      <c r="E33" s="16" t="str">
        <f>IF(D33="X",100*0.1,"")</f>
        <v/>
      </c>
      <c r="F33" s="16" t="str">
        <f>IF($C33=L,"X","")</f>
        <v/>
      </c>
      <c r="G33" s="16" t="str">
        <f>IF(F33="X",60*0.1,"")</f>
        <v/>
      </c>
      <c r="H33" s="16" t="str">
        <f>IF($C33=ML,"X","")</f>
        <v>X</v>
      </c>
      <c r="I33" s="16">
        <f>IF(H33="X",30*0.1,"")</f>
        <v>3</v>
      </c>
      <c r="J33" s="16" t="str">
        <f>IF($C33=NL,"X","")</f>
        <v/>
      </c>
      <c r="K33" s="16" t="str">
        <f>IF($J33="X",0,"")</f>
        <v/>
      </c>
    </row>
    <row r="34" spans="1:11" ht="15.75" customHeight="1" x14ac:dyDescent="0.3">
      <c r="A34" s="62"/>
      <c r="B34" s="21" t="s">
        <v>17</v>
      </c>
      <c r="C34" s="18">
        <f>E34+G34+I34+K34</f>
        <v>23</v>
      </c>
      <c r="D34" s="19"/>
      <c r="E34" s="19">
        <f>SUM(E31:E33)</f>
        <v>20</v>
      </c>
      <c r="F34" s="19"/>
      <c r="G34" s="19">
        <f t="shared" ref="G34:K34" si="30">SUM(G31:G33)</f>
        <v>0</v>
      </c>
      <c r="H34" s="19"/>
      <c r="I34" s="19">
        <f t="shared" si="30"/>
        <v>3</v>
      </c>
      <c r="J34" s="19"/>
      <c r="K34" s="19">
        <f t="shared" si="30"/>
        <v>0</v>
      </c>
    </row>
    <row r="35" spans="1:11" ht="15.75" customHeight="1" x14ac:dyDescent="0.3">
      <c r="A35" s="50"/>
      <c r="B35" s="17" t="s">
        <v>12</v>
      </c>
      <c r="C35" s="20">
        <f>VLOOKUP(C34,ESCALA_TRAB_EQUIP!A2:B62,2,FALSE)</f>
        <v>5.3</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f>B5</f>
        <v>0</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2026-09-22T04:53:22Z</dcterms:modified>
  <cp:category/>
  <cp:contentStatus/>
</cp:coreProperties>
</file>